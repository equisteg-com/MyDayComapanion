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gs" sheetId="2" state="visible" r:id="rId2"/>
    <sheet xmlns:r="http://schemas.openxmlformats.org/officeDocument/2006/relationships" name="Run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'Bugs'!$A$1:$Z$1</definedName>
    <definedName name="_xlnm._FilterDatabase" localSheetId="2" hidden="1">'Runs'!$A$1:$Q$1</definedName>
    <definedName name="_xlnm._FilterDatabase" localSheetId="3" hidden="1">'Summary'!$A$1:$E$1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Equisteg bug log — one row per bug. Filled by /test after every staging run; edited by /change, /update and /test fixes.</t>
        </is>
      </c>
    </row>
    <row r="2">
      <c r="A2" t="inlineStr">
        <is>
          <t>Status flow: New -&gt; Open (Decision = Fix now) -&gt; In progress -&gt; In PR -&gt; Fixed (merged to development) -&gt; Verified (passes on staging) -&gt; Closed.</t>
        </is>
      </c>
    </row>
    <row r="3">
      <c r="A3" t="inlineStr">
        <is>
          <t>Other statuses: Deferred (decided to fix later), Won't fix, Not a bug (test or data problem), Duplicate (see Remarks), Reopened (failed again after Fixed/Verified).</t>
        </is>
      </c>
    </row>
    <row r="4">
      <c r="A4" t="inlineStr">
        <is>
          <t>Severity: S1 = payments, security, data loss or app unusable; S2 = main feature broken, no workaround; S3 = feature partly broken or workaround exists; S4 = cosmetic, flaky test, minor.</t>
        </is>
      </c>
    </row>
    <row r="5">
      <c r="A5" t="inlineStr">
        <is>
          <t>Signature = suite | TC ID or automation ref. The same failure in a later run updates the same row (Last seen, Occurrences) instead of adding a new one.</t>
        </is>
      </c>
    </row>
    <row r="6">
      <c r="A6" t="inlineStr">
        <is>
          <t>Never delete rows. Never paste secrets, real customer data or production tokens into this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9" customWidth="1" min="4" max="4"/>
    <col width="9" customWidth="1" min="5" max="5"/>
    <col width="11" customWidth="1" min="6" max="6"/>
    <col width="22" customWidth="1" min="7" max="7"/>
    <col width="12" customWidth="1" min="8" max="8"/>
    <col width="14" customWidth="1" min="9" max="9"/>
    <col width="11" customWidth="1" min="10" max="10"/>
    <col width="12" customWidth="1" min="11" max="11"/>
    <col width="40" customWidth="1" min="12" max="12"/>
    <col width="50" customWidth="1" min="13" max="13"/>
    <col width="40" customWidth="1" min="14" max="14"/>
    <col width="50" customWidth="1" min="15" max="15"/>
    <col width="34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34" customWidth="1" min="22" max="22"/>
    <col width="16" customWidth="1" min="23" max="23"/>
    <col width="18" customWidth="1" min="24" max="24"/>
    <col width="30" customWidth="1" min="25" max="25"/>
    <col width="30" customWidth="1" min="26" max="26"/>
  </cols>
  <sheetData>
    <row r="1">
      <c r="A1" s="1" t="inlineStr">
        <is>
          <t>Bug ID</t>
        </is>
      </c>
      <c r="B1" s="1" t="inlineStr">
        <is>
          <t>Status</t>
        </is>
      </c>
      <c r="C1" s="1" t="inlineStr">
        <is>
          <t>Decision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Platform</t>
        </is>
      </c>
      <c r="H1" s="1" t="inlineStr">
        <is>
          <t>Suite</t>
        </is>
      </c>
      <c r="I1" s="1" t="inlineStr">
        <is>
          <t>Kind</t>
        </is>
      </c>
      <c r="J1" s="1" t="inlineStr">
        <is>
          <t>TC ID</t>
        </is>
      </c>
      <c r="K1" s="1" t="inlineStr">
        <is>
          <t>REQ / NFR ID</t>
        </is>
      </c>
      <c r="L1" s="1" t="inlineStr">
        <is>
          <t>Title</t>
        </is>
      </c>
      <c r="M1" s="1" t="inlineStr">
        <is>
          <t>Steps to reproduce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Evidence</t>
        </is>
      </c>
      <c r="Q1" s="1" t="inlineStr">
        <is>
          <t>First seen</t>
        </is>
      </c>
      <c r="R1" s="1" t="inlineStr">
        <is>
          <t>First run</t>
        </is>
      </c>
      <c r="S1" s="1" t="inlineStr">
        <is>
          <t>Last seen</t>
        </is>
      </c>
      <c r="T1" s="1" t="inlineStr">
        <is>
          <t>Last run</t>
        </is>
      </c>
      <c r="U1" s="1" t="inlineStr">
        <is>
          <t>Occurrences</t>
        </is>
      </c>
      <c r="V1" s="1" t="inlineStr">
        <is>
          <t>Fix branch / PR</t>
        </is>
      </c>
      <c r="W1" s="1" t="inlineStr">
        <is>
          <t>Fixed in</t>
        </is>
      </c>
      <c r="X1" s="1" t="inlineStr">
        <is>
          <t>Verified in run</t>
        </is>
      </c>
      <c r="Y1" s="1" t="inlineStr">
        <is>
          <t>Signature</t>
        </is>
      </c>
      <c r="Z1" s="1" t="inlineStr">
        <is>
          <t>Remarks</t>
        </is>
      </c>
    </row>
  </sheetData>
  <autoFilter ref="A1:Z1"/>
  <dataValidations count="5">
    <dataValidation sqref="B2:B5000" showDropDown="0" showInputMessage="0" showErrorMessage="0" allowBlank="1" type="list">
      <formula1>"New,Open,In progress,In PR,Fixed,Verified,Closed,Reopened,Deferred,Won't fix,Not a bug,Duplicate"</formula1>
    </dataValidation>
    <dataValidation sqref="C2:C5000" showDropDown="0" showInputMessage="0" showErrorMessage="0" allowBlank="1" type="list">
      <formula1>"Fix now,Defer,Won't fix,Not a bug"</formula1>
    </dataValidation>
    <dataValidation sqref="D2:D5000" showDropDown="0" showInputMessage="0" showErrorMessage="0" allowBlank="1" type="list">
      <formula1>"S1,S2,S3,S4"</formula1>
    </dataValidation>
    <dataValidation sqref="E2:E5000" showDropDown="0" showInputMessage="0" showErrorMessage="0" allowBlank="1" type="list">
      <formula1>"P1,P2,P3"</formula1>
    </dataValidation>
    <dataValidation sqref="I2:I5000" showDropDown="0" showInputMessage="0" showErrorMessage="0" allowBlank="1" type="list">
      <formula1>"Functional,Non-functional"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32" customWidth="1" min="4" max="4"/>
    <col width="1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40" customWidth="1" min="17" max="17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Environment</t>
        </is>
      </c>
      <c r="D1" s="1" t="inlineStr">
        <is>
          <t>Base URL</t>
        </is>
      </c>
      <c r="E1" s="1" t="inlineStr">
        <is>
          <t>Commit</t>
        </is>
      </c>
      <c r="F1" s="1" t="inlineStr">
        <is>
          <t>Run link</t>
        </is>
      </c>
      <c r="G1" s="1" t="inlineStr">
        <is>
          <t>Total</t>
        </is>
      </c>
      <c r="H1" s="1" t="inlineStr">
        <is>
          <t>Passed</t>
        </is>
      </c>
      <c r="I1" s="1" t="inlineStr">
        <is>
          <t>Failed</t>
        </is>
      </c>
      <c r="J1" s="1" t="inlineStr">
        <is>
          <t>Flaky</t>
        </is>
      </c>
      <c r="K1" s="1" t="inlineStr">
        <is>
          <t>Warn</t>
        </is>
      </c>
      <c r="L1" s="1" t="inlineStr">
        <is>
          <t>Skipped</t>
        </is>
      </c>
      <c r="M1" s="1" t="inlineStr">
        <is>
          <t>New bugs</t>
        </is>
      </c>
      <c r="N1" s="1" t="inlineStr">
        <is>
          <t>Reopened</t>
        </is>
      </c>
      <c r="O1" s="1" t="inlineStr">
        <is>
          <t>Still open</t>
        </is>
      </c>
      <c r="P1" s="1" t="inlineStr">
        <is>
          <t>Verified</t>
        </is>
      </c>
      <c r="Q1" s="1" t="inlineStr">
        <is>
          <t>Report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" customWidth="1" min="3" max="3"/>
    <col width="16" customWidth="1" min="4" max="4"/>
    <col width="10" customWidth="1" min="5" max="5"/>
  </cols>
  <sheetData>
    <row r="1">
      <c r="A1" s="1" t="inlineStr">
        <is>
          <t>Status</t>
        </is>
      </c>
      <c r="B1" s="1" t="inlineStr">
        <is>
          <t>Count</t>
        </is>
      </c>
      <c r="C1" s="1" t="inlineStr"/>
      <c r="D1" s="1" t="inlineStr">
        <is>
          <t>Severity (open)</t>
        </is>
      </c>
      <c r="E1" s="1" t="inlineStr">
        <is>
          <t>Count</t>
        </is>
      </c>
    </row>
    <row r="2">
      <c r="A2" t="inlineStr">
        <is>
          <t>New</t>
        </is>
      </c>
      <c r="B2">
        <f>COUNTIFS(Bugs!B:B,"New")</f>
        <v/>
      </c>
      <c r="D2" t="inlineStr">
        <is>
          <t>S1</t>
        </is>
      </c>
      <c r="E2">
        <f>COUNTIFS(Bugs!D:D,"S1",Bugs!B:B,"New")+COUNTIFS(Bugs!D:D,"S1",Bugs!B:B,"Open")+COUNTIFS(Bugs!D:D,"S1",Bugs!B:B,"In progress")+COUNTIFS(Bugs!D:D,"S1",Bugs!B:B,"In PR")+COUNTIFS(Bugs!D:D,"S1",Bugs!B:B,"Reopened")+COUNTIFS(Bugs!D:D,"S1",Bugs!B:B,"Deferred")</f>
        <v/>
      </c>
    </row>
    <row r="3">
      <c r="A3" t="inlineStr">
        <is>
          <t>Open</t>
        </is>
      </c>
      <c r="B3">
        <f>COUNTIFS(Bugs!B:B,"Open")</f>
        <v/>
      </c>
      <c r="D3" t="inlineStr">
        <is>
          <t>S2</t>
        </is>
      </c>
      <c r="E3">
        <f>COUNTIFS(Bugs!D:D,"S2",Bugs!B:B,"New")+COUNTIFS(Bugs!D:D,"S2",Bugs!B:B,"Open")+COUNTIFS(Bugs!D:D,"S2",Bugs!B:B,"In progress")+COUNTIFS(Bugs!D:D,"S2",Bugs!B:B,"In PR")+COUNTIFS(Bugs!D:D,"S2",Bugs!B:B,"Reopened")+COUNTIFS(Bugs!D:D,"S2",Bugs!B:B,"Deferred")</f>
        <v/>
      </c>
    </row>
    <row r="4">
      <c r="A4" t="inlineStr">
        <is>
          <t>In progress</t>
        </is>
      </c>
      <c r="B4">
        <f>COUNTIFS(Bugs!B:B,"In progress")</f>
        <v/>
      </c>
      <c r="D4" t="inlineStr">
        <is>
          <t>S3</t>
        </is>
      </c>
      <c r="E4">
        <f>COUNTIFS(Bugs!D:D,"S3",Bugs!B:B,"New")+COUNTIFS(Bugs!D:D,"S3",Bugs!B:B,"Open")+COUNTIFS(Bugs!D:D,"S3",Bugs!B:B,"In progress")+COUNTIFS(Bugs!D:D,"S3",Bugs!B:B,"In PR")+COUNTIFS(Bugs!D:D,"S3",Bugs!B:B,"Reopened")+COUNTIFS(Bugs!D:D,"S3",Bugs!B:B,"Deferred")</f>
        <v/>
      </c>
    </row>
    <row r="5">
      <c r="A5" t="inlineStr">
        <is>
          <t>In PR</t>
        </is>
      </c>
      <c r="B5">
        <f>COUNTIFS(Bugs!B:B,"In PR")</f>
        <v/>
      </c>
      <c r="D5" t="inlineStr">
        <is>
          <t>S4</t>
        </is>
      </c>
      <c r="E5">
        <f>COUNTIFS(Bugs!D:D,"S4",Bugs!B:B,"New")+COUNTIFS(Bugs!D:D,"S4",Bugs!B:B,"Open")+COUNTIFS(Bugs!D:D,"S4",Bugs!B:B,"In progress")+COUNTIFS(Bugs!D:D,"S4",Bugs!B:B,"In PR")+COUNTIFS(Bugs!D:D,"S4",Bugs!B:B,"Reopened")+COUNTIFS(Bugs!D:D,"S4",Bugs!B:B,"Deferred")</f>
        <v/>
      </c>
    </row>
    <row r="6">
      <c r="A6" t="inlineStr">
        <is>
          <t>Fixed</t>
        </is>
      </c>
      <c r="B6">
        <f>COUNTIFS(Bugs!B:B,"Fixed")</f>
        <v/>
      </c>
    </row>
    <row r="7">
      <c r="A7" t="inlineStr">
        <is>
          <t>Verified</t>
        </is>
      </c>
      <c r="B7">
        <f>COUNTIFS(Bugs!B:B,"Verified")</f>
        <v/>
      </c>
    </row>
    <row r="8">
      <c r="A8" t="inlineStr">
        <is>
          <t>Closed</t>
        </is>
      </c>
      <c r="B8">
        <f>COUNTIFS(Bugs!B:B,"Closed")</f>
        <v/>
      </c>
    </row>
    <row r="9">
      <c r="A9" t="inlineStr">
        <is>
          <t>Reopened</t>
        </is>
      </c>
      <c r="B9">
        <f>COUNTIFS(Bugs!B:B,"Reopened")</f>
        <v/>
      </c>
    </row>
    <row r="10">
      <c r="A10" t="inlineStr">
        <is>
          <t>Deferred</t>
        </is>
      </c>
      <c r="B10">
        <f>COUNTIFS(Bugs!B:B,"Deferred")</f>
        <v/>
      </c>
    </row>
    <row r="11">
      <c r="A11" t="inlineStr">
        <is>
          <t>Won't fix</t>
        </is>
      </c>
      <c r="B11">
        <f>COUNTIFS(Bugs!B:B,"Won't fix")</f>
        <v/>
      </c>
    </row>
    <row r="12">
      <c r="A12" t="inlineStr">
        <is>
          <t>Not a bug</t>
        </is>
      </c>
      <c r="B12">
        <f>COUNTIFS(Bugs!B:B,"Not a bug")</f>
        <v/>
      </c>
    </row>
    <row r="13">
      <c r="A13" t="inlineStr">
        <is>
          <t>Duplicate</t>
        </is>
      </c>
      <c r="B13">
        <f>COUNTIFS(Bugs!B:B,"Duplicate")</f>
        <v/>
      </c>
    </row>
    <row r="14">
      <c r="A14" s="2" t="inlineStr">
        <is>
          <t>Total</t>
        </is>
      </c>
      <c r="B14" s="2">
        <f>SUM(B2:B13)</f>
        <v/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2026-10-01T14:00:41Z</dcterms:created>
  <dcterms:modified xmlns:dcterms="http://purl.org/dc/terms/" xmlns:xsi="http://www.w3.org/2001/XMLSchema-instance" xsi:type="dcterms:W3CDTF">2026-10-01T14:00:41Z</dcterms:modified>
</cp:coreProperties>
</file>